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sez-moi" state="visible" r:id="rId4"/>
    <sheet sheetId="2" name="Equipements" state="visible" r:id="rId5"/>
    <sheet sheetId="3" name="Tickets" state="visible" r:id="rId6"/>
    <sheet sheetId="4" name="Couts_GLPI" state="visible" r:id="rId7"/>
    <sheet sheetId="5" name="Items_lies" state="visible" r:id="rId8"/>
    <sheet sheetId="6" name="Mouvements" state="visible" r:id="rId9"/>
    <sheet sheetId="7" name="SuperCost" state="visible" r:id="rId10"/>
    <sheet sheetId="8" name="ReopenCost" state="visible" r:id="rId11"/>
    <sheet sheetId="9" name="RESULTAT" state="visible" r:id="rId12"/>
  </sheets>
  <calcPr calcId="171027"/>
</workbook>
</file>

<file path=xl/sharedStrings.xml><?xml version="1.0" encoding="utf-8"?>
<sst xmlns="http://schemas.openxmlformats.org/spreadsheetml/2006/main" count="222" uniqueCount="153">
  <si>
    <t/>
  </si>
  <si>
    <t>CLASSEUR DE CALCUL — Coûts par type d'item (données Import-data-juin-26)</t>
  </si>
  <si>
    <t>De la donnée source (Équipements / Tickets / Coûts) jusqu'au tableau ItemsCostList.</t>
  </si>
  <si>
    <t>COULEURS :  JAUNE = à saisir (source)   BLEU = calculé par formule   ORANGE = totaux</t>
  </si>
  <si>
    <t>ONGLETS :</t>
  </si>
  <si>
    <t xml:space="preserve">   1. Equipements  — Feuille 1 : le parc (Name, Item_Type…). Colonne "tracked" calculée.</t>
  </si>
  <si>
    <t xml:space="preserve">   2. Tickets      — Feuille 2 : tickets + liste des items rattachés (colonne Items).</t>
  </si>
  <si>
    <t xml:space="preserve">   3. Couts_GLPI   — Feuille 3 : lignes de coût par ticket. Coût horaire calculé.</t>
  </si>
  <si>
    <t xml:space="preserve">   4. Items_lies   — DÉRIVÉ : chaque item d'un ticket sur une ligne, avec sa part de coût GLPI.</t>
  </si>
  <si>
    <t xml:space="preserve">   5. Mouvements   — import_mvt.csv : open / close / cancel (réouvertures &amp; supercosts).</t>
  </si>
  <si>
    <t xml:space="preserve">   6. SuperCost    — close : valeur répartie entre items tracked du ticket.</t>
  </si>
  <si>
    <t xml:space="preserve">   7. ReopenCost   — open : pourcentage d'une base SuperCost (modes 1-4).</t>
  </si>
  <si>
    <t xml:space="preserve">   8. RESULTAT     — tableau final agrégé par itemtype.</t>
  </si>
  <si>
    <t>FORMULES (identiques au code) :</t>
  </si>
  <si>
    <t xml:space="preserve">   itemtype       = VLOOKUP(nom_item, Equipements, Item_Type)</t>
  </si>
  <si>
    <t xml:space="preserve">   coût horaire   = Time_Cost × Duration_second / 3600</t>
  </si>
  <si>
    <t xml:space="preserve">   part par item  = coût_ticket / nb items du ticket</t>
  </si>
  <si>
    <t xml:space="preserve">   SuperCost      = valeur_close / nb items tracked du ticket</t>
  </si>
  <si>
    <t xml:space="preserve">   Reopen         = base × percent / 100   (base selon mode : 1 dernier · 2 premier · 3 moyenne · 4 somme)</t>
  </si>
  <si>
    <t xml:space="preserve">   Total ligne    = coût fixe + coût horaire + SuperCost + Reopen</t>
  </si>
  <si>
    <t>NB 1 : PC-ADM-001 (Computer) est sur les tickets 1 ET 2 → ses coûts sont agrégés sur la ligne Computer.</t>
  </si>
  <si>
    <t>NB 2 : Dans import_mvt.csv le ticket 2 fait close(20) PUIS cancel → le batch est annulé (colonne "actif"=0),</t>
  </si>
  <si>
    <t xml:space="preserve">        donc SuperCost et Reopen retombent à 0. Le seul coût réel vient des coûts GLPI (ticket 1 = 160,45 €).</t>
  </si>
  <si>
    <t>NB 3 : Les items tracked = Computer / Phone / Monitor uniquement.</t>
  </si>
  <si>
    <t>Feuille 1 — Parc d'équipements (source)</t>
  </si>
  <si>
    <t>Name</t>
  </si>
  <si>
    <t>Status</t>
  </si>
  <si>
    <t>Location</t>
  </si>
  <si>
    <t>Manufacturer</t>
  </si>
  <si>
    <t>Item_Type</t>
  </si>
  <si>
    <t>Model</t>
  </si>
  <si>
    <t>Inventory_Number</t>
  </si>
  <si>
    <t>User</t>
  </si>
  <si>
    <t>tracked</t>
  </si>
  <si>
    <t>PC-ADM-001</t>
  </si>
  <si>
    <t>En production</t>
  </si>
  <si>
    <t>Administration</t>
  </si>
  <si>
    <t>Dell</t>
  </si>
  <si>
    <t>Computer</t>
  </si>
  <si>
    <t>OptiPlex 7010</t>
  </si>
  <si>
    <t>ITU-2026-0001</t>
  </si>
  <si>
    <t>Rakoto Jean</t>
  </si>
  <si>
    <t>PC-ADM-002</t>
  </si>
  <si>
    <t>HP</t>
  </si>
  <si>
    <t>ProDesk 400 G9</t>
  </si>
  <si>
    <t>ITU-2026-0002</t>
  </si>
  <si>
    <t>Rasoanaivo Marie</t>
  </si>
  <si>
    <t>PC-COMPTA-001</t>
  </si>
  <si>
    <t>Comptabilité</t>
  </si>
  <si>
    <t>Lenovo</t>
  </si>
  <si>
    <t>ThinkCentre M70</t>
  </si>
  <si>
    <t>ITU-2026-0003</t>
  </si>
  <si>
    <t>Rakotondranaivo Paul</t>
  </si>
  <si>
    <t>PC-COMPTA-002</t>
  </si>
  <si>
    <t>Maintenance</t>
  </si>
  <si>
    <t>OptiPlex 7020</t>
  </si>
  <si>
    <t>ITU-2026-0004</t>
  </si>
  <si>
    <t>Rabe Hanitra</t>
  </si>
  <si>
    <t>PC-LAB-001</t>
  </si>
  <si>
    <t>Laboratoire IA</t>
  </si>
  <si>
    <t>EliteDesk 800 G8</t>
  </si>
  <si>
    <t>ITU-2026-0005</t>
  </si>
  <si>
    <t>ITU Labs</t>
  </si>
  <si>
    <t>PC-LAB-002</t>
  </si>
  <si>
    <t>ThinkCentre M75</t>
  </si>
  <si>
    <t>ITU-2026-0006</t>
  </si>
  <si>
    <t>PC-LAB-003</t>
  </si>
  <si>
    <t>OptiPlex 7090</t>
  </si>
  <si>
    <t>ITU-2026-0007</t>
  </si>
  <si>
    <t>PC-BIB-001</t>
  </si>
  <si>
    <t>Bibliothèque</t>
  </si>
  <si>
    <t>ProDesk 600 G6</t>
  </si>
  <si>
    <t>ITU-2026-0008</t>
  </si>
  <si>
    <t>PC-FORM-001</t>
  </si>
  <si>
    <t>En stock</t>
  </si>
  <si>
    <t>Magasin Informatique</t>
  </si>
  <si>
    <t>ThinkCentre Neo 50</t>
  </si>
  <si>
    <t>ITU-2026-0009</t>
  </si>
  <si>
    <t>MN-FORM-002</t>
  </si>
  <si>
    <t>En panne</t>
  </si>
  <si>
    <t>Salle 301</t>
  </si>
  <si>
    <t>Monitor</t>
  </si>
  <si>
    <t>AC1000</t>
  </si>
  <si>
    <t>ITU-2026-0010</t>
  </si>
  <si>
    <t>Rakoto Michel</t>
  </si>
  <si>
    <t>Feuille 2 — Tickets (source). Colonne Items = équipements rattachés (JSON).</t>
  </si>
  <si>
    <t>Ref_Ticket</t>
  </si>
  <si>
    <t>Date</t>
  </si>
  <si>
    <t>Heure</t>
  </si>
  <si>
    <t>Type</t>
  </si>
  <si>
    <t>Titre</t>
  </si>
  <si>
    <t>Description</t>
  </si>
  <si>
    <t>Priority</t>
  </si>
  <si>
    <t>Items</t>
  </si>
  <si>
    <t>nb items</t>
  </si>
  <si>
    <t>03/06/2026</t>
  </si>
  <si>
    <t>13:45</t>
  </si>
  <si>
    <t>Incident</t>
  </si>
  <si>
    <t>kkk</t>
  </si>
  <si>
    <t>hafahafa be</t>
  </si>
  <si>
    <t>New</t>
  </si>
  <si>
    <t>Medium</t>
  </si>
  <si>
    <t>["PC-ADM-001"]</t>
  </si>
  <si>
    <t>04/06/2026</t>
  </si>
  <si>
    <t>Michauffe</t>
  </si>
  <si>
    <t>mamay be</t>
  </si>
  <si>
    <t>["PC-ADM-001","MN-FORM-002"]</t>
  </si>
  <si>
    <t>Feuille 3 — Lignes de coût GLPI par ticket. Coût horaire = Time_Cost × Duration / 3600.</t>
  </si>
  <si>
    <t>Num_Ticket</t>
  </si>
  <si>
    <t>Duration_second</t>
  </si>
  <si>
    <t>Time_Cost (€/h)</t>
  </si>
  <si>
    <t>Fixed_Cost (€)</t>
  </si>
  <si>
    <t>coût horaire (€)</t>
  </si>
  <si>
    <t>Récap par ticket :</t>
  </si>
  <si>
    <t>ticket</t>
  </si>
  <si>
    <t>Σ fixe (€)</t>
  </si>
  <si>
    <t>Σ horaire (€)</t>
  </si>
  <si>
    <t>Σ GLPI (€)</t>
  </si>
  <si>
    <t>Items rattachés (dérivé des Tickets) — un item par ligne, avec sa part de coût GLPI</t>
  </si>
  <si>
    <t>item (Name)</t>
  </si>
  <si>
    <t>itemtype</t>
  </si>
  <si>
    <t>nb items ticket</t>
  </si>
  <si>
    <t>part coût fixe</t>
  </si>
  <si>
    <t>part coût horaire</t>
  </si>
  <si>
    <t>import_mvt.csv — mouvements (open=réouverture %, close=supercost, cancel=annule batch)</t>
  </si>
  <si>
    <t>ordre</t>
  </si>
  <si>
    <t>mvt</t>
  </si>
  <si>
    <t>valeur</t>
  </si>
  <si>
    <t>mode</t>
  </si>
  <si>
    <t>mode (libellé)</t>
  </si>
  <si>
    <t>open</t>
  </si>
  <si>
    <t>close</t>
  </si>
  <si>
    <t>cancel</t>
  </si>
  <si>
    <t>SuperCost — la valeur du "close" est répartie entre les items tracked du ticket</t>
  </si>
  <si>
    <t>batch</t>
  </si>
  <si>
    <t>nb tracked</t>
  </si>
  <si>
    <t>actif</t>
  </si>
  <si>
    <t>amount (€)</t>
  </si>
  <si>
    <t>TOTAL</t>
  </si>
  <si>
    <t>actif=0 car le ticket 2 fait "cancel" après le "close" → le batch est annulé. Mettez actif=1 pour simuler sans annulation.</t>
  </si>
  <si>
    <t>ReopenCost — un "open" applique percent% à une base SuperCost (selon le mode)</t>
  </si>
  <si>
    <t>percent (%)</t>
  </si>
  <si>
    <t>base SuperCost (€)</t>
  </si>
  <si>
    <t>Base = 0 ici car les supercosts sont annulés (cancel). Le backend utilise toujours le dernier batch (mode 1).</t>
  </si>
  <si>
    <t>RESULTAT — Coûts par type d'item (écran ItemsCostList)</t>
  </si>
  <si>
    <t>Type item</t>
  </si>
  <si>
    <t>Coût fixe</t>
  </si>
  <si>
    <t>Coût horaire</t>
  </si>
  <si>
    <t>Coût GLPI</t>
  </si>
  <si>
    <t>Super Cost</t>
  </si>
  <si>
    <t>Frais réouverture</t>
  </si>
  <si>
    <t>TOTAL GÉNÉRAL</t>
  </si>
  <si>
    <t>Total = Coût fixe + Coût horaire + Super Cost + Frais réouverture. Coût GLPI = fixe + horaire.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</si>
</sst>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 &quot;€&quot;"/>
  </numFmts>
  <fonts count="12" x14ac:knownFonts="1">
    <font>
      <color theme="1"/>
      <family val="2"/>
      <scheme val="minor"/>
      <sz val="11"/>
      <name val="Calibri"/>
    </font>
    <font>
      <sz val="11"/>
    </font>
    <font>
      <b/>
      <color rgb="FF1E3A5F"/>
      <sz val="14"/>
    </font>
    <font>
      <b/>
      <sz val="11"/>
    </font>
    <font>
      <b/>
      <color rgb="FF1E3A5F"/>
      <sz val="13"/>
    </font>
    <font>
      <b/>
      <color rgb="FFFFFFFF"/>
      <sz val="11"/>
    </font>
    <font>
      <b/>
    </font>
    <font>
      <b/>
      <color rgb="FF2E7D32"/>
      <sz val="13"/>
    </font>
    <font>
      <b/>
      <color rgb="FFEF6C00"/>
      <sz val="13"/>
    </font>
    <font>
      <i/>
      <color rgb="FF607D8B"/>
      <sz val="10"/>
    </font>
    <font>
      <b/>
      <color rgb="FFD32F2F"/>
      <sz val="13"/>
    </font>
    <font>
      <b/>
      <color rgb="FFFFFFFF"/>
    </font>
  </fonts>
  <fills count="10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8E1"/>
      </patternFill>
    </fill>
    <fill>
      <patternFill patternType="solid">
        <fgColor rgb="FFE3F2FD"/>
      </patternFill>
    </fill>
    <fill>
      <patternFill patternType="solid">
        <fgColor rgb="FFFFE0B2"/>
      </patternFill>
    </fill>
    <fill>
      <patternFill patternType="solid">
        <fgColor rgb="FF2E7D32"/>
      </patternFill>
    </fill>
    <fill>
      <patternFill patternType="solid">
        <fgColor rgb="FFEF6C00"/>
      </patternFill>
    </fill>
    <fill>
      <patternFill patternType="solid">
        <fgColor rgb="FFD32F2F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left" vertical="center"/>
    </xf>
    <xf numFmtId="164" fontId="0" fillId="4" borderId="1" xfId="0" applyNumberFormat="1" applyFill="1" applyBorder="1" applyAlignment="1">
      <alignment horizontal="left" vertical="center"/>
    </xf>
    <xf numFmtId="0" fontId="6" fillId="0" borderId="0" xfId="0" applyFont="1"/>
    <xf numFmtId="0" fontId="0" fillId="0" borderId="1" xfId="0" applyBorder="1" applyAlignment="1">
      <alignment horizontal="center" vertical="center"/>
    </xf>
    <xf numFmtId="164" fontId="6" fillId="5" borderId="1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7" fillId="0" borderId="0" xfId="0" applyFont="1"/>
    <xf numFmtId="0" fontId="5" fillId="6" borderId="1" xfId="0" applyFont="1" applyFill="1" applyBorder="1" applyAlignment="1">
      <alignment horizontal="center" vertical="center" wrapText="1"/>
    </xf>
    <xf numFmtId="0" fontId="8" fillId="0" borderId="0" xfId="0" applyFont="1"/>
    <xf numFmtId="0" fontId="5" fillId="7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right" vertical="center"/>
    </xf>
    <xf numFmtId="0" fontId="9" fillId="0" borderId="0" xfId="0" applyFont="1"/>
    <xf numFmtId="0" fontId="10" fillId="0" borderId="0" xfId="0" applyFont="1"/>
    <xf numFmtId="0" fontId="5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5F"/>
  </sheetPr>
  <dimension ref="B1:B28"/>
  <sheetFormatPr defaultRowHeight="15" outlineLevelRow="0" outlineLevelCol="0" x14ac:dyDescent="55"/>
  <cols>
    <col min="1" max="1" width="3" customWidth="1"/>
    <col min="2" max="2" width="115" customWidth="1"/>
  </cols>
  <sheetData>
    <row r="1" spans="2:2" x14ac:dyDescent="0.25">
      <c r="B1" s="1" t="s">
        <v>0</v>
      </c>
    </row>
    <row r="2" spans="2:2" x14ac:dyDescent="0.25">
      <c r="B2" s="2" t="s">
        <v>1</v>
      </c>
    </row>
    <row r="3" spans="2:2" x14ac:dyDescent="0.25">
      <c r="B3" s="1" t="s">
        <v>2</v>
      </c>
    </row>
    <row r="4" spans="2:2" x14ac:dyDescent="0.25">
      <c r="B4" s="1" t="s">
        <v>0</v>
      </c>
    </row>
    <row r="5" spans="2:2" x14ac:dyDescent="0.25">
      <c r="B5" s="1" t="s">
        <v>3</v>
      </c>
    </row>
    <row r="6" spans="2:2" x14ac:dyDescent="0.25">
      <c r="B6" s="1" t="s">
        <v>0</v>
      </c>
    </row>
    <row r="7" spans="2:2" x14ac:dyDescent="0.25">
      <c r="B7" s="3" t="s">
        <v>4</v>
      </c>
    </row>
    <row r="8" spans="2:2" x14ac:dyDescent="0.25">
      <c r="B8" s="1" t="s">
        <v>5</v>
      </c>
    </row>
    <row r="9" spans="2:2" x14ac:dyDescent="0.25">
      <c r="B9" s="1" t="s">
        <v>6</v>
      </c>
    </row>
    <row r="10" spans="2:2" x14ac:dyDescent="0.25">
      <c r="B10" s="1" t="s">
        <v>7</v>
      </c>
    </row>
    <row r="11" spans="2:2" x14ac:dyDescent="0.25">
      <c r="B11" s="1" t="s">
        <v>8</v>
      </c>
    </row>
    <row r="12" spans="2:2" x14ac:dyDescent="0.25">
      <c r="B12" s="1" t="s">
        <v>9</v>
      </c>
    </row>
    <row r="13" spans="2:2" x14ac:dyDescent="0.25">
      <c r="B13" s="1" t="s">
        <v>10</v>
      </c>
    </row>
    <row r="14" spans="2:2" x14ac:dyDescent="0.25">
      <c r="B14" s="1" t="s">
        <v>11</v>
      </c>
    </row>
    <row r="15" spans="2:2" x14ac:dyDescent="0.25">
      <c r="B15" s="1" t="s">
        <v>12</v>
      </c>
    </row>
    <row r="16" spans="2:2" x14ac:dyDescent="0.25">
      <c r="B16" s="1" t="s">
        <v>0</v>
      </c>
    </row>
    <row r="17" spans="2:2" x14ac:dyDescent="0.25">
      <c r="B17" s="3" t="s">
        <v>13</v>
      </c>
    </row>
    <row r="18" spans="2:2" x14ac:dyDescent="0.25">
      <c r="B18" s="1" t="s">
        <v>14</v>
      </c>
    </row>
    <row r="19" spans="2:2" x14ac:dyDescent="0.25">
      <c r="B19" s="1" t="s">
        <v>15</v>
      </c>
    </row>
    <row r="20" spans="2:2" x14ac:dyDescent="0.25">
      <c r="B20" s="1" t="s">
        <v>16</v>
      </c>
    </row>
    <row r="21" spans="2:2" x14ac:dyDescent="0.25">
      <c r="B21" s="1" t="s">
        <v>17</v>
      </c>
    </row>
    <row r="22" spans="2:2" x14ac:dyDescent="0.25">
      <c r="B22" s="1" t="s">
        <v>18</v>
      </c>
    </row>
    <row r="23" spans="2:2" x14ac:dyDescent="0.25">
      <c r="B23" s="1" t="s">
        <v>19</v>
      </c>
    </row>
    <row r="24" spans="2:2" x14ac:dyDescent="0.25">
      <c r="B24" s="1" t="s">
        <v>0</v>
      </c>
    </row>
    <row r="25" spans="2:2" x14ac:dyDescent="0.25">
      <c r="B25" s="1" t="s">
        <v>20</v>
      </c>
    </row>
    <row r="26" spans="2:2" x14ac:dyDescent="0.25">
      <c r="B26" s="1" t="s">
        <v>21</v>
      </c>
    </row>
    <row r="27" spans="2:2" x14ac:dyDescent="0.25">
      <c r="B27" s="1" t="s">
        <v>22</v>
      </c>
    </row>
    <row r="28" spans="2:2" x14ac:dyDescent="0.25">
      <c r="B28" s="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5F"/>
  </sheetPr>
  <dimension ref="A1:I1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4" customWidth="1"/>
    <col min="3" max="3" width="18" customWidth="1"/>
    <col min="4" max="4" width="14" customWidth="1"/>
    <col min="5" max="5" width="12" customWidth="1"/>
    <col min="6" max="6" width="18" customWidth="1"/>
    <col min="7" max="7" width="16" customWidth="1"/>
    <col min="8" max="8" width="18" customWidth="1"/>
    <col min="9" max="9" width="10" customWidth="1"/>
  </cols>
  <sheetData>
    <row r="1" spans="1:9" x14ac:dyDescent="0.25">
      <c r="A1" s="4" t="s">
        <v>24</v>
      </c>
      <c r="B1" s="4"/>
      <c r="C1" s="4"/>
      <c r="D1" s="4"/>
      <c r="E1" s="4"/>
      <c r="F1" s="4"/>
      <c r="G1" s="4"/>
      <c r="H1" s="4"/>
      <c r="I1" s="4"/>
    </row>
    <row r="3" ht="30" customHeight="1" spans="1:9" x14ac:dyDescent="0.25">
      <c r="A3" s="5" t="s">
        <v>25</v>
      </c>
      <c r="B3" s="5" t="s">
        <v>26</v>
      </c>
      <c r="C3" s="5" t="s">
        <v>27</v>
      </c>
      <c r="D3" s="5" t="s">
        <v>28</v>
      </c>
      <c r="E3" s="5" t="s">
        <v>29</v>
      </c>
      <c r="F3" s="5" t="s">
        <v>30</v>
      </c>
      <c r="G3" s="5" t="s">
        <v>31</v>
      </c>
      <c r="H3" s="5" t="s">
        <v>32</v>
      </c>
      <c r="I3" s="5" t="s">
        <v>33</v>
      </c>
    </row>
    <row r="4" spans="1:9" x14ac:dyDescent="0.25">
      <c r="A4" s="6" t="s">
        <v>34</v>
      </c>
      <c r="B4" s="6" t="s">
        <v>35</v>
      </c>
      <c r="C4" s="6" t="s">
        <v>36</v>
      </c>
      <c r="D4" s="6" t="s">
        <v>37</v>
      </c>
      <c r="E4" s="7" t="s">
        <v>38</v>
      </c>
      <c r="F4" s="6" t="s">
        <v>39</v>
      </c>
      <c r="G4" s="6" t="s">
        <v>40</v>
      </c>
      <c r="H4" s="6" t="s">
        <v>41</v>
      </c>
      <c r="I4" s="8">
        <f>IF(OR(E4="Computer",E4="Phone",E4="Monitor"),1,0)</f>
      </c>
    </row>
    <row r="5" spans="1:9" x14ac:dyDescent="0.25">
      <c r="A5" s="6" t="s">
        <v>42</v>
      </c>
      <c r="B5" s="6" t="s">
        <v>35</v>
      </c>
      <c r="C5" s="6" t="s">
        <v>36</v>
      </c>
      <c r="D5" s="6" t="s">
        <v>43</v>
      </c>
      <c r="E5" s="7" t="s">
        <v>38</v>
      </c>
      <c r="F5" s="6" t="s">
        <v>44</v>
      </c>
      <c r="G5" s="6" t="s">
        <v>45</v>
      </c>
      <c r="H5" s="6" t="s">
        <v>46</v>
      </c>
      <c r="I5" s="8">
        <f>IF(OR(E5="Computer",E5="Phone",E5="Monitor"),1,0)</f>
      </c>
    </row>
    <row r="6" spans="1:9" x14ac:dyDescent="0.25">
      <c r="A6" s="6" t="s">
        <v>47</v>
      </c>
      <c r="B6" s="6" t="s">
        <v>35</v>
      </c>
      <c r="C6" s="6" t="s">
        <v>48</v>
      </c>
      <c r="D6" s="6" t="s">
        <v>49</v>
      </c>
      <c r="E6" s="7" t="s">
        <v>38</v>
      </c>
      <c r="F6" s="6" t="s">
        <v>50</v>
      </c>
      <c r="G6" s="6" t="s">
        <v>51</v>
      </c>
      <c r="H6" s="6" t="s">
        <v>52</v>
      </c>
      <c r="I6" s="8">
        <f>IF(OR(E6="Computer",E6="Phone",E6="Monitor"),1,0)</f>
      </c>
    </row>
    <row r="7" spans="1:9" x14ac:dyDescent="0.25">
      <c r="A7" s="6" t="s">
        <v>53</v>
      </c>
      <c r="B7" s="6" t="s">
        <v>54</v>
      </c>
      <c r="C7" s="6" t="s">
        <v>48</v>
      </c>
      <c r="D7" s="6" t="s">
        <v>37</v>
      </c>
      <c r="E7" s="7" t="s">
        <v>38</v>
      </c>
      <c r="F7" s="6" t="s">
        <v>55</v>
      </c>
      <c r="G7" s="6" t="s">
        <v>56</v>
      </c>
      <c r="H7" s="6" t="s">
        <v>57</v>
      </c>
      <c r="I7" s="8">
        <f>IF(OR(E7="Computer",E7="Phone",E7="Monitor"),1,0)</f>
      </c>
    </row>
    <row r="8" spans="1:9" x14ac:dyDescent="0.25">
      <c r="A8" s="6" t="s">
        <v>58</v>
      </c>
      <c r="B8" s="6" t="s">
        <v>35</v>
      </c>
      <c r="C8" s="6" t="s">
        <v>59</v>
      </c>
      <c r="D8" s="6" t="s">
        <v>43</v>
      </c>
      <c r="E8" s="7" t="s">
        <v>38</v>
      </c>
      <c r="F8" s="6" t="s">
        <v>60</v>
      </c>
      <c r="G8" s="6" t="s">
        <v>61</v>
      </c>
      <c r="H8" s="6" t="s">
        <v>62</v>
      </c>
      <c r="I8" s="8">
        <f>IF(OR(E8="Computer",E8="Phone",E8="Monitor"),1,0)</f>
      </c>
    </row>
    <row r="9" spans="1:9" x14ac:dyDescent="0.25">
      <c r="A9" s="6" t="s">
        <v>63</v>
      </c>
      <c r="B9" s="6" t="s">
        <v>35</v>
      </c>
      <c r="C9" s="6" t="s">
        <v>59</v>
      </c>
      <c r="D9" s="6" t="s">
        <v>49</v>
      </c>
      <c r="E9" s="7" t="s">
        <v>38</v>
      </c>
      <c r="F9" s="6" t="s">
        <v>64</v>
      </c>
      <c r="G9" s="6" t="s">
        <v>65</v>
      </c>
      <c r="H9" s="6" t="s">
        <v>62</v>
      </c>
      <c r="I9" s="8">
        <f>IF(OR(E9="Computer",E9="Phone",E9="Monitor"),1,0)</f>
      </c>
    </row>
    <row r="10" spans="1:9" x14ac:dyDescent="0.25">
      <c r="A10" s="6" t="s">
        <v>66</v>
      </c>
      <c r="B10" s="6" t="s">
        <v>35</v>
      </c>
      <c r="C10" s="6" t="s">
        <v>59</v>
      </c>
      <c r="D10" s="6" t="s">
        <v>37</v>
      </c>
      <c r="E10" s="7" t="s">
        <v>38</v>
      </c>
      <c r="F10" s="6" t="s">
        <v>67</v>
      </c>
      <c r="G10" s="6" t="s">
        <v>68</v>
      </c>
      <c r="H10" s="6" t="s">
        <v>62</v>
      </c>
      <c r="I10" s="8">
        <f>IF(OR(E10="Computer",E10="Phone",E10="Monitor"),1,0)</f>
      </c>
    </row>
    <row r="11" spans="1:9" x14ac:dyDescent="0.25">
      <c r="A11" s="6" t="s">
        <v>69</v>
      </c>
      <c r="B11" s="6" t="s">
        <v>35</v>
      </c>
      <c r="C11" s="6" t="s">
        <v>70</v>
      </c>
      <c r="D11" s="6" t="s">
        <v>43</v>
      </c>
      <c r="E11" s="7" t="s">
        <v>38</v>
      </c>
      <c r="F11" s="6" t="s">
        <v>71</v>
      </c>
      <c r="G11" s="6" t="s">
        <v>72</v>
      </c>
      <c r="H11" s="6" t="s">
        <v>70</v>
      </c>
      <c r="I11" s="8">
        <f>IF(OR(E11="Computer",E11="Phone",E11="Monitor"),1,0)</f>
      </c>
    </row>
    <row r="12" spans="1:9" x14ac:dyDescent="0.25">
      <c r="A12" s="6" t="s">
        <v>73</v>
      </c>
      <c r="B12" s="6" t="s">
        <v>74</v>
      </c>
      <c r="C12" s="6" t="s">
        <v>75</v>
      </c>
      <c r="D12" s="6" t="s">
        <v>49</v>
      </c>
      <c r="E12" s="7" t="s">
        <v>38</v>
      </c>
      <c r="F12" s="6" t="s">
        <v>76</v>
      </c>
      <c r="G12" s="6" t="s">
        <v>77</v>
      </c>
      <c r="H12" s="6" t="s">
        <v>0</v>
      </c>
      <c r="I12" s="8">
        <f>IF(OR(E12="Computer",E12="Phone",E12="Monitor"),1,0)</f>
      </c>
    </row>
    <row r="13" spans="1:9" x14ac:dyDescent="0.25">
      <c r="A13" s="6" t="s">
        <v>78</v>
      </c>
      <c r="B13" s="6" t="s">
        <v>79</v>
      </c>
      <c r="C13" s="6" t="s">
        <v>80</v>
      </c>
      <c r="D13" s="6" t="s">
        <v>37</v>
      </c>
      <c r="E13" s="7" t="s">
        <v>81</v>
      </c>
      <c r="F13" s="6" t="s">
        <v>82</v>
      </c>
      <c r="G13" s="6" t="s">
        <v>83</v>
      </c>
      <c r="H13" s="6" t="s">
        <v>84</v>
      </c>
      <c r="I13" s="8">
        <f>IF(OR(E13="Computer",E13="Phone",E13="Monitor"),1,0)</f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5F"/>
  </sheetPr>
  <dimension ref="A1:J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8" customWidth="1"/>
    <col min="4" max="5" width="12" customWidth="1"/>
    <col min="6" max="6" width="22" customWidth="1"/>
    <col min="7" max="8" width="10" customWidth="1"/>
    <col min="9" max="9" width="28" customWidth="1"/>
    <col min="10" max="10" width="12" customWidth="1"/>
  </cols>
  <sheetData>
    <row r="1" spans="1:10" x14ac:dyDescent="0.25">
      <c r="A1" s="4" t="s">
        <v>85</v>
      </c>
      <c r="B1" s="4"/>
      <c r="C1" s="4"/>
      <c r="D1" s="4"/>
      <c r="E1" s="4"/>
      <c r="F1" s="4"/>
      <c r="G1" s="4"/>
      <c r="H1" s="4"/>
      <c r="I1" s="4"/>
      <c r="J1" s="4"/>
    </row>
    <row r="3" ht="30" customHeight="1" spans="1:10" x14ac:dyDescent="0.25">
      <c r="A3" s="5" t="s">
        <v>86</v>
      </c>
      <c r="B3" s="5" t="s">
        <v>87</v>
      </c>
      <c r="C3" s="5" t="s">
        <v>88</v>
      </c>
      <c r="D3" s="5" t="s">
        <v>89</v>
      </c>
      <c r="E3" s="5" t="s">
        <v>90</v>
      </c>
      <c r="F3" s="5" t="s">
        <v>91</v>
      </c>
      <c r="G3" s="5" t="s">
        <v>26</v>
      </c>
      <c r="H3" s="5" t="s">
        <v>92</v>
      </c>
      <c r="I3" s="5" t="s">
        <v>93</v>
      </c>
      <c r="J3" s="5" t="s">
        <v>94</v>
      </c>
    </row>
    <row r="4" spans="1:10" x14ac:dyDescent="0.25">
      <c r="A4" s="7">
        <v>1</v>
      </c>
      <c r="B4" s="6" t="s">
        <v>95</v>
      </c>
      <c r="C4" s="6" t="s">
        <v>96</v>
      </c>
      <c r="D4" s="6" t="s">
        <v>97</v>
      </c>
      <c r="E4" s="6" t="s">
        <v>98</v>
      </c>
      <c r="F4" s="6" t="s">
        <v>99</v>
      </c>
      <c r="G4" s="6" t="s">
        <v>100</v>
      </c>
      <c r="H4" s="6" t="s">
        <v>101</v>
      </c>
      <c r="I4" s="6" t="s">
        <v>102</v>
      </c>
      <c r="J4" s="8">
        <f>COUNTIF(Items_lies!$A:$A,A4)</f>
      </c>
    </row>
    <row r="5" spans="1:10" x14ac:dyDescent="0.25">
      <c r="A5" s="7">
        <v>2</v>
      </c>
      <c r="B5" s="6" t="s">
        <v>103</v>
      </c>
      <c r="C5" s="6" t="s">
        <v>96</v>
      </c>
      <c r="D5" s="6" t="s">
        <v>97</v>
      </c>
      <c r="E5" s="6" t="s">
        <v>104</v>
      </c>
      <c r="F5" s="6" t="s">
        <v>105</v>
      </c>
      <c r="G5" s="6" t="s">
        <v>100</v>
      </c>
      <c r="H5" s="6" t="s">
        <v>101</v>
      </c>
      <c r="I5" s="6" t="s">
        <v>106</v>
      </c>
      <c r="J5" s="8">
        <f>COUNTIF(Items_lies!$A:$A,A5)</f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5F"/>
  </sheetPr>
  <dimension ref="A1:E1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4" width="14" customWidth="1"/>
    <col min="5" max="5" width="18" customWidth="1"/>
  </cols>
  <sheetData>
    <row r="1" spans="1:5" x14ac:dyDescent="0.25">
      <c r="A1" s="4" t="s">
        <v>107</v>
      </c>
      <c r="B1" s="4"/>
      <c r="C1" s="4"/>
      <c r="D1" s="4"/>
      <c r="E1" s="4"/>
    </row>
    <row r="3" ht="30" customHeight="1" spans="1:5" x14ac:dyDescent="0.25">
      <c r="A3" s="5" t="s">
        <v>108</v>
      </c>
      <c r="B3" s="5" t="s">
        <v>109</v>
      </c>
      <c r="C3" s="5" t="s">
        <v>110</v>
      </c>
      <c r="D3" s="5" t="s">
        <v>111</v>
      </c>
      <c r="E3" s="5" t="s">
        <v>112</v>
      </c>
    </row>
    <row r="4" spans="1:5" x14ac:dyDescent="0.25">
      <c r="A4" s="7">
        <v>1</v>
      </c>
      <c r="B4" s="7">
        <v>0</v>
      </c>
      <c r="C4" s="9">
        <v>0</v>
      </c>
      <c r="D4" s="9">
        <v>109</v>
      </c>
      <c r="E4" s="10">
        <f>C4*B4/3600</f>
      </c>
    </row>
    <row r="5" spans="1:5" x14ac:dyDescent="0.25">
      <c r="A5" s="7">
        <v>1</v>
      </c>
      <c r="B5" s="7">
        <v>600</v>
      </c>
      <c r="C5" s="9">
        <v>8.7</v>
      </c>
      <c r="D5" s="9">
        <v>50</v>
      </c>
      <c r="E5" s="10">
        <f>C5*B5/3600</f>
      </c>
    </row>
    <row r="7" spans="1:1" x14ac:dyDescent="0.25">
      <c r="A7" s="11" t="s">
        <v>113</v>
      </c>
    </row>
    <row r="8" ht="30" customHeight="1" spans="1:5" x14ac:dyDescent="0.25">
      <c r="A8" s="5" t="s">
        <v>114</v>
      </c>
      <c r="B8" s="5" t="s">
        <v>115</v>
      </c>
      <c r="C8" s="5" t="s">
        <v>116</v>
      </c>
      <c r="D8" s="5" t="s">
        <v>117</v>
      </c>
      <c r="E8" s="5" t="s">
        <v>0</v>
      </c>
    </row>
    <row r="9" spans="1:5" x14ac:dyDescent="0.25">
      <c r="A9" s="12">
        <v>1</v>
      </c>
      <c r="B9" s="10">
        <f>SUMIF($A$4:$A$5,A9,$D$4:$D$5)</f>
      </c>
      <c r="C9" s="10">
        <f>SUMIF($A$4:$A$5,A9,$E$4:$E$5)</f>
      </c>
      <c r="D9" s="13">
        <f>B9+C9</f>
      </c>
      <c r="E9" s="14"/>
    </row>
    <row r="10" spans="1:5" x14ac:dyDescent="0.25">
      <c r="A10" s="12">
        <v>2</v>
      </c>
      <c r="B10" s="10">
        <f>SUMIF($A$4:$A$5,A10,$D$4:$D$5)</f>
      </c>
      <c r="C10" s="10">
        <f>SUMIF($A$4:$A$5,A10,$E$4:$E$5)</f>
      </c>
      <c r="D10" s="13">
        <f>B10+C10</f>
      </c>
      <c r="E10" s="14"/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32"/>
  </sheetPr>
  <dimension ref="A1:G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6" customWidth="1"/>
    <col min="3" max="3" width="12" customWidth="1"/>
    <col min="4" max="4" width="10" customWidth="1"/>
    <col min="5" max="5" width="14" customWidth="1"/>
    <col min="6" max="7" width="16" customWidth="1"/>
  </cols>
  <sheetData>
    <row r="1" spans="1:7" x14ac:dyDescent="0.25">
      <c r="A1" s="15" t="s">
        <v>118</v>
      </c>
      <c r="B1" s="15"/>
      <c r="C1" s="15"/>
      <c r="D1" s="15"/>
      <c r="E1" s="15"/>
      <c r="F1" s="15"/>
      <c r="G1" s="15"/>
    </row>
    <row r="3" ht="30" customHeight="1" spans="1:7" x14ac:dyDescent="0.25">
      <c r="A3" s="16" t="s">
        <v>114</v>
      </c>
      <c r="B3" s="16" t="s">
        <v>119</v>
      </c>
      <c r="C3" s="16" t="s">
        <v>120</v>
      </c>
      <c r="D3" s="16" t="s">
        <v>33</v>
      </c>
      <c r="E3" s="16" t="s">
        <v>121</v>
      </c>
      <c r="F3" s="16" t="s">
        <v>122</v>
      </c>
      <c r="G3" s="16" t="s">
        <v>123</v>
      </c>
    </row>
    <row r="4" spans="1:7" x14ac:dyDescent="0.25">
      <c r="A4" s="7">
        <v>1</v>
      </c>
      <c r="B4" s="6" t="s">
        <v>34</v>
      </c>
      <c r="C4" s="8">
        <f>IFERROR(VLOOKUP(B4,Equipements!$A$4:$E$13,5,FALSE),"?")</f>
      </c>
      <c r="D4" s="8">
        <f>IF(OR(C4="Computer",C4="Phone",C4="Monitor"),1,0)</f>
      </c>
      <c r="E4" s="8">
        <f>COUNTIF($A$4:$A$6,A4)</f>
      </c>
      <c r="F4" s="10">
        <f>IFERROR(SUMIF(Couts_GLPI!$A$4:$A$5,A4,Couts_GLPI!$D$4:$D$5)/E4,0)</f>
      </c>
      <c r="G4" s="10">
        <f>IFERROR(SUMIF(Couts_GLPI!$A$4:$A$5,A4,Couts_GLPI!$E$4:$E$5)/E4,0)</f>
      </c>
    </row>
    <row r="5" spans="1:7" x14ac:dyDescent="0.25">
      <c r="A5" s="7">
        <v>2</v>
      </c>
      <c r="B5" s="6" t="s">
        <v>34</v>
      </c>
      <c r="C5" s="8">
        <f>IFERROR(VLOOKUP(B5,Equipements!$A$4:$E$13,5,FALSE),"?")</f>
      </c>
      <c r="D5" s="8">
        <f>IF(OR(C5="Computer",C5="Phone",C5="Monitor"),1,0)</f>
      </c>
      <c r="E5" s="8">
        <f>COUNTIF($A$4:$A$6,A5)</f>
      </c>
      <c r="F5" s="10">
        <f>IFERROR(SUMIF(Couts_GLPI!$A$4:$A$5,A5,Couts_GLPI!$D$4:$D$5)/E5,0)</f>
      </c>
      <c r="G5" s="10">
        <f>IFERROR(SUMIF(Couts_GLPI!$A$4:$A$5,A5,Couts_GLPI!$E$4:$E$5)/E5,0)</f>
      </c>
    </row>
    <row r="6" spans="1:7" x14ac:dyDescent="0.25">
      <c r="A6" s="7">
        <v>2</v>
      </c>
      <c r="B6" s="6" t="s">
        <v>78</v>
      </c>
      <c r="C6" s="8">
        <f>IFERROR(VLOOKUP(B6,Equipements!$A$4:$E$13,5,FALSE),"?")</f>
      </c>
      <c r="D6" s="8">
        <f>IF(OR(C6="Computer",C6="Phone",C6="Monitor"),1,0)</f>
      </c>
      <c r="E6" s="8">
        <f>COUNTIF($A$4:$A$6,A6)</f>
      </c>
      <c r="F6" s="10">
        <f>IFERROR(SUMIF(Couts_GLPI!$A$4:$A$5,A6,Couts_GLPI!$D$4:$D$5)/E6,0)</f>
      </c>
      <c r="G6" s="10">
        <f>IFERROR(SUMIF(Couts_GLPI!$A$4:$A$5,A6,Couts_GLPI!$E$4:$E$5)/E6,0)</f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F6C00"/>
  </sheetPr>
  <dimension ref="A1:F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3" width="10" customWidth="1"/>
    <col min="4" max="4" width="12" customWidth="1"/>
    <col min="5" max="5" width="8" customWidth="1"/>
    <col min="6" max="6" width="18" customWidth="1"/>
  </cols>
  <sheetData>
    <row r="1" spans="1:6" x14ac:dyDescent="0.25">
      <c r="A1" s="17" t="s">
        <v>124</v>
      </c>
      <c r="B1" s="17"/>
      <c r="C1" s="17"/>
      <c r="D1" s="17"/>
      <c r="E1" s="17"/>
      <c r="F1" s="17"/>
    </row>
    <row r="3" ht="30" customHeight="1" spans="1:6" x14ac:dyDescent="0.25">
      <c r="A3" s="18" t="s">
        <v>125</v>
      </c>
      <c r="B3" s="18" t="s">
        <v>114</v>
      </c>
      <c r="C3" s="18" t="s">
        <v>126</v>
      </c>
      <c r="D3" s="18" t="s">
        <v>127</v>
      </c>
      <c r="E3" s="18" t="s">
        <v>128</v>
      </c>
      <c r="F3" s="18" t="s">
        <v>129</v>
      </c>
    </row>
    <row r="4" spans="1:6" x14ac:dyDescent="0.25">
      <c r="A4" s="12">
        <v>1</v>
      </c>
      <c r="B4" s="7">
        <v>1</v>
      </c>
      <c r="C4" s="7" t="s">
        <v>130</v>
      </c>
      <c r="D4" s="9">
        <v>50</v>
      </c>
      <c r="E4" s="7">
        <v>1</v>
      </c>
      <c r="F4" s="8">
        <f>IF(C4&lt;&gt;"open","",IFERROR(CHOOSE(E4,"1 dernier","2 premier","3 moyenne","4 somme"),"1 dernier"))</f>
      </c>
    </row>
    <row r="5" spans="1:6" x14ac:dyDescent="0.25">
      <c r="A5" s="12">
        <v>2</v>
      </c>
      <c r="B5" s="7">
        <v>2</v>
      </c>
      <c r="C5" s="7" t="s">
        <v>130</v>
      </c>
      <c r="D5" s="9">
        <v>5</v>
      </c>
      <c r="E5" s="7">
        <v>3</v>
      </c>
      <c r="F5" s="8">
        <f>IF(C5&lt;&gt;"open","",IFERROR(CHOOSE(E5,"1 dernier","2 premier","3 moyenne","4 somme"),"1 dernier"))</f>
      </c>
    </row>
    <row r="6" spans="1:6" x14ac:dyDescent="0.25">
      <c r="A6" s="12">
        <v>3</v>
      </c>
      <c r="B6" s="7">
        <v>2</v>
      </c>
      <c r="C6" s="7" t="s">
        <v>131</v>
      </c>
      <c r="D6" s="9">
        <v>20</v>
      </c>
      <c r="E6" s="7"/>
      <c r="F6" s="8">
        <f>IF(C6&lt;&gt;"open","",IFERROR(CHOOSE(E6,"1 dernier","2 premier","3 moyenne","4 somme"),"1 dernier"))</f>
      </c>
    </row>
    <row r="7" spans="1:6" x14ac:dyDescent="0.25">
      <c r="A7" s="12">
        <v>4</v>
      </c>
      <c r="B7" s="7">
        <v>2</v>
      </c>
      <c r="C7" s="7" t="s">
        <v>132</v>
      </c>
      <c r="D7" s="9"/>
      <c r="E7" s="7"/>
      <c r="F7" s="8">
        <f>IF(C7&lt;&gt;"open","",IFERROR(CHOOSE(E7,"1 dernier","2 premier","3 moyenne","4 somme"),"1 dernier"))</f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F6C00"/>
  </sheetPr>
  <dimension ref="A1:G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8" customWidth="1"/>
    <col min="3" max="5" width="14" customWidth="1"/>
    <col min="6" max="6" width="10" customWidth="1"/>
    <col min="7" max="7" width="16" customWidth="1"/>
  </cols>
  <sheetData>
    <row r="1" spans="1:7" x14ac:dyDescent="0.25">
      <c r="A1" s="17" t="s">
        <v>133</v>
      </c>
      <c r="B1" s="17"/>
      <c r="C1" s="17"/>
      <c r="D1" s="17"/>
      <c r="E1" s="17"/>
      <c r="F1" s="17"/>
      <c r="G1" s="17"/>
    </row>
    <row r="3" ht="30" customHeight="1" spans="1:7" x14ac:dyDescent="0.25">
      <c r="A3" s="18" t="s">
        <v>114</v>
      </c>
      <c r="B3" s="18" t="s">
        <v>134</v>
      </c>
      <c r="C3" s="18" t="s">
        <v>120</v>
      </c>
      <c r="D3" s="18" t="s">
        <v>119</v>
      </c>
      <c r="E3" s="18" t="s">
        <v>135</v>
      </c>
      <c r="F3" s="18" t="s">
        <v>136</v>
      </c>
      <c r="G3" s="18" t="s">
        <v>137</v>
      </c>
    </row>
    <row r="4" spans="1:7" x14ac:dyDescent="0.25">
      <c r="A4" s="12">
        <v>2</v>
      </c>
      <c r="B4" s="12">
        <v>1</v>
      </c>
      <c r="C4" s="12" t="s">
        <v>38</v>
      </c>
      <c r="D4" s="14" t="s">
        <v>34</v>
      </c>
      <c r="E4" s="8">
        <f>SUMIFS(Items_lies!$D$4:$D$6,Items_lies!$A$4:$A$6,A4)</f>
      </c>
      <c r="F4" s="7">
        <v>0</v>
      </c>
      <c r="G4" s="10">
        <f>IFERROR(Mouvements!$D$6/E4*F4,0)</f>
      </c>
    </row>
    <row r="5" spans="1:7" x14ac:dyDescent="0.25">
      <c r="A5" s="12">
        <v>2</v>
      </c>
      <c r="B5" s="12">
        <v>1</v>
      </c>
      <c r="C5" s="12" t="s">
        <v>81</v>
      </c>
      <c r="D5" s="14" t="s">
        <v>78</v>
      </c>
      <c r="E5" s="8">
        <f>SUMIFS(Items_lies!$D$4:$D$6,Items_lies!$A$4:$A$6,A5)</f>
      </c>
      <c r="F5" s="7">
        <v>0</v>
      </c>
      <c r="G5" s="10">
        <f>IFERROR(Mouvements!$D$6/E5*F5,0)</f>
      </c>
    </row>
    <row r="6" spans="6:7" x14ac:dyDescent="0.25">
      <c r="F6" s="19" t="s">
        <v>138</v>
      </c>
      <c r="G6" s="13">
        <f>SUM(G4:G5)</f>
      </c>
    </row>
    <row r="8" spans="1:7" x14ac:dyDescent="0.25">
      <c r="A8" s="20" t="s">
        <v>139</v>
      </c>
      <c r="B8" s="20"/>
      <c r="C8" s="20"/>
      <c r="D8" s="20"/>
      <c r="E8" s="20"/>
      <c r="F8" s="20"/>
      <c r="G8" s="20"/>
    </row>
  </sheetData>
  <mergeCells count="2">
    <mergeCell ref="A1:G1"/>
    <mergeCell ref="A8:G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32F2F"/>
  </sheetPr>
  <dimension ref="A1:H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3" width="14" customWidth="1"/>
    <col min="4" max="4" width="12" customWidth="1"/>
    <col min="5" max="5" width="8" customWidth="1"/>
    <col min="6" max="6" width="18" customWidth="1"/>
    <col min="7" max="7" width="16" customWidth="1"/>
    <col min="8" max="8" width="14" customWidth="1"/>
  </cols>
  <sheetData>
    <row r="1" spans="1:8" x14ac:dyDescent="0.25">
      <c r="A1" s="21" t="s">
        <v>140</v>
      </c>
      <c r="B1" s="21"/>
      <c r="C1" s="21"/>
      <c r="D1" s="21"/>
      <c r="E1" s="21"/>
      <c r="F1" s="21"/>
      <c r="G1" s="21"/>
      <c r="H1" s="21"/>
    </row>
    <row r="3" ht="30" customHeight="1" spans="1:8" x14ac:dyDescent="0.25">
      <c r="A3" s="22" t="s">
        <v>114</v>
      </c>
      <c r="B3" s="22" t="s">
        <v>120</v>
      </c>
      <c r="C3" s="22" t="s">
        <v>119</v>
      </c>
      <c r="D3" s="22" t="s">
        <v>141</v>
      </c>
      <c r="E3" s="22" t="s">
        <v>128</v>
      </c>
      <c r="F3" s="22" t="s">
        <v>142</v>
      </c>
      <c r="G3" s="22" t="s">
        <v>137</v>
      </c>
      <c r="H3" s="22" t="s">
        <v>129</v>
      </c>
    </row>
    <row r="4" spans="1:8" x14ac:dyDescent="0.25">
      <c r="A4" s="12">
        <v>1</v>
      </c>
      <c r="B4" s="12" t="s">
        <v>38</v>
      </c>
      <c r="C4" s="14" t="s">
        <v>34</v>
      </c>
      <c r="D4" s="8">
        <f>Mouvements!$D$4</f>
      </c>
      <c r="E4" s="8">
        <f>IF(Mouvements!$E$4="",1,Mouvements!$E$4)</f>
      </c>
      <c r="F4" s="10">
        <f>IFERROR(CHOOSE(E4,SUMIFS(SuperCost!$G$4:$G$5,SuperCost!$A$4:$A$5,A4,SuperCost!$C$4:$C$5,B4,SuperCost!$B$4:$B$5,MAXIFS(SuperCost!$B$4:$B$5,SuperCost!$A$4:$A$5,A4,SuperCost!$C$4:$C$5,B4)),SUMIFS(SuperCost!$G$4:$G$5,SuperCost!$A$4:$A$5,A4,SuperCost!$C$4:$C$5,B4,SuperCost!$B$4:$B$5,MINIFS(SuperCost!$B$4:$B$5,SuperCost!$A$4:$A$5,A4,SuperCost!$C$4:$C$5,B4)),SUMIFS(SuperCost!$G$4:$G$5,SuperCost!$A$4:$A$5,A4,SuperCost!$C$4:$C$5,B4)/COUNTIFS(SuperCost!$A$4:$A$5,A4,SuperCost!$C$4:$C$5,B4),SUMIFS(SuperCost!$G$4:$G$5,SuperCost!$A$4:$A$5,A4,SuperCost!$C$4:$C$5,B4)),0)</f>
      </c>
      <c r="G4" s="10">
        <f>F4*D4/100</f>
      </c>
      <c r="H4" s="8">
        <f>IFERROR(CHOOSE(E4,"1 dernier","2 premier","3 moyenne","4 somme"),"1 dernier")</f>
      </c>
    </row>
    <row r="5" spans="1:8" x14ac:dyDescent="0.25">
      <c r="A5" s="12">
        <v>2</v>
      </c>
      <c r="B5" s="12" t="s">
        <v>38</v>
      </c>
      <c r="C5" s="14" t="s">
        <v>34</v>
      </c>
      <c r="D5" s="8">
        <f>Mouvements!$D$5</f>
      </c>
      <c r="E5" s="8">
        <f>IF(Mouvements!$E$5="",1,Mouvements!$E$5)</f>
      </c>
      <c r="F5" s="10">
        <f>IFERROR(CHOOSE(E5,SUMIFS(SuperCost!$G$4:$G$5,SuperCost!$A$4:$A$5,A5,SuperCost!$C$4:$C$5,B5,SuperCost!$B$4:$B$5,MAXIFS(SuperCost!$B$4:$B$5,SuperCost!$A$4:$A$5,A5,SuperCost!$C$4:$C$5,B5)),SUMIFS(SuperCost!$G$4:$G$5,SuperCost!$A$4:$A$5,A5,SuperCost!$C$4:$C$5,B5,SuperCost!$B$4:$B$5,MINIFS(SuperCost!$B$4:$B$5,SuperCost!$A$4:$A$5,A5,SuperCost!$C$4:$C$5,B5)),SUMIFS(SuperCost!$G$4:$G$5,SuperCost!$A$4:$A$5,A5,SuperCost!$C$4:$C$5,B5)/COUNTIFS(SuperCost!$A$4:$A$5,A5,SuperCost!$C$4:$C$5,B5),SUMIFS(SuperCost!$G$4:$G$5,SuperCost!$A$4:$A$5,A5,SuperCost!$C$4:$C$5,B5)),0)</f>
      </c>
      <c r="G5" s="10">
        <f>F5*D5/100</f>
      </c>
      <c r="H5" s="8">
        <f>IFERROR(CHOOSE(E5,"1 dernier","2 premier","3 moyenne","4 somme"),"1 dernier")</f>
      </c>
    </row>
    <row r="6" spans="1:8" x14ac:dyDescent="0.25">
      <c r="A6" s="12">
        <v>2</v>
      </c>
      <c r="B6" s="12" t="s">
        <v>81</v>
      </c>
      <c r="C6" s="14" t="s">
        <v>78</v>
      </c>
      <c r="D6" s="8">
        <f>Mouvements!$D$5</f>
      </c>
      <c r="E6" s="8">
        <f>IF(Mouvements!$E$5="",1,Mouvements!$E$5)</f>
      </c>
      <c r="F6" s="10">
        <f>IFERROR(CHOOSE(E6,SUMIFS(SuperCost!$G$4:$G$5,SuperCost!$A$4:$A$5,A6,SuperCost!$C$4:$C$5,B6,SuperCost!$B$4:$B$5,MAXIFS(SuperCost!$B$4:$B$5,SuperCost!$A$4:$A$5,A6,SuperCost!$C$4:$C$5,B6)),SUMIFS(SuperCost!$G$4:$G$5,SuperCost!$A$4:$A$5,A6,SuperCost!$C$4:$C$5,B6,SuperCost!$B$4:$B$5,MINIFS(SuperCost!$B$4:$B$5,SuperCost!$A$4:$A$5,A6,SuperCost!$C$4:$C$5,B6)),SUMIFS(SuperCost!$G$4:$G$5,SuperCost!$A$4:$A$5,A6,SuperCost!$C$4:$C$5,B6)/COUNTIFS(SuperCost!$A$4:$A$5,A6,SuperCost!$C$4:$C$5,B6),SUMIFS(SuperCost!$G$4:$G$5,SuperCost!$A$4:$A$5,A6,SuperCost!$C$4:$C$5,B6)),0)</f>
      </c>
      <c r="G6" s="10">
        <f>F6*D6/100</f>
      </c>
      <c r="H6" s="8">
        <f>IFERROR(CHOOSE(E6,"1 dernier","2 premier","3 moyenne","4 somme"),"1 dernier")</f>
      </c>
    </row>
    <row r="7" spans="6:7" x14ac:dyDescent="0.25">
      <c r="F7" s="19" t="s">
        <v>138</v>
      </c>
      <c r="G7" s="13">
        <f>SUM(G4:G6)</f>
      </c>
    </row>
    <row r="9" spans="1:8" x14ac:dyDescent="0.25">
      <c r="A9" s="20" t="s">
        <v>143</v>
      </c>
      <c r="B9" s="20"/>
      <c r="C9" s="20"/>
      <c r="D9" s="20"/>
      <c r="E9" s="20"/>
      <c r="F9" s="20"/>
      <c r="G9" s="20"/>
      <c r="H9" s="20"/>
    </row>
  </sheetData>
  <mergeCells count="2">
    <mergeCell ref="A1:H1"/>
    <mergeCell ref="A9:H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5F"/>
  </sheetPr>
  <dimension ref="A1:G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5" width="14" customWidth="1"/>
    <col min="6" max="6" width="18" customWidth="1"/>
    <col min="7" max="7" width="16" customWidth="1"/>
  </cols>
  <sheetData>
    <row r="1" spans="1:7" x14ac:dyDescent="0.25">
      <c r="A1" s="4" t="s">
        <v>144</v>
      </c>
      <c r="B1" s="4"/>
      <c r="C1" s="4"/>
      <c r="D1" s="4"/>
      <c r="E1" s="4"/>
      <c r="F1" s="4"/>
      <c r="G1" s="4"/>
    </row>
    <row r="3" ht="30" customHeight="1" spans="1:7" x14ac:dyDescent="0.25">
      <c r="A3" s="5" t="s">
        <v>145</v>
      </c>
      <c r="B3" s="5" t="s">
        <v>146</v>
      </c>
      <c r="C3" s="5" t="s">
        <v>147</v>
      </c>
      <c r="D3" s="5" t="s">
        <v>148</v>
      </c>
      <c r="E3" s="5" t="s">
        <v>149</v>
      </c>
      <c r="F3" s="5" t="s">
        <v>150</v>
      </c>
      <c r="G3" s="5" t="s">
        <v>138</v>
      </c>
    </row>
    <row r="4" spans="1:7" x14ac:dyDescent="0.25">
      <c r="A4" s="23" t="s">
        <v>38</v>
      </c>
      <c r="B4" s="10">
        <f>SUMIF(Items_lies!$C$4:$C$6,A4,Items_lies!$F$4:$F$6)</f>
      </c>
      <c r="C4" s="10">
        <f>SUMIF(Items_lies!$C$4:$C$6,A4,Items_lies!$G$4:$G$6)</f>
      </c>
      <c r="D4" s="10">
        <f>B4+C4</f>
      </c>
      <c r="E4" s="10">
        <f>SUMIF(SuperCost!$C$4:$C$5,A4,SuperCost!$G$4:$G$5)</f>
      </c>
      <c r="F4" s="10">
        <f>SUMIF(ReopenCost!$B$4:$B$6,A4,ReopenCost!$G$4:$G$6)</f>
      </c>
      <c r="G4" s="13">
        <f>B4+C4+E4+F4</f>
      </c>
    </row>
    <row r="5" spans="1:7" x14ac:dyDescent="0.25">
      <c r="A5" s="23" t="s">
        <v>81</v>
      </c>
      <c r="B5" s="10">
        <f>SUMIF(Items_lies!$C$4:$C$6,A5,Items_lies!$F$4:$F$6)</f>
      </c>
      <c r="C5" s="10">
        <f>SUMIF(Items_lies!$C$4:$C$6,A5,Items_lies!$G$4:$G$6)</f>
      </c>
      <c r="D5" s="10">
        <f>B5+C5</f>
      </c>
      <c r="E5" s="10">
        <f>SUMIF(SuperCost!$C$4:$C$5,A5,SuperCost!$G$4:$G$5)</f>
      </c>
      <c r="F5" s="10">
        <f>SUMIF(ReopenCost!$B$4:$B$6,A5,ReopenCost!$G$4:$G$6)</f>
      </c>
      <c r="G5" s="13">
        <f>B5+C5+E5+F5</f>
      </c>
    </row>
    <row r="6" spans="1:7" x14ac:dyDescent="0.25">
      <c r="A6" s="24" t="s">
        <v>151</v>
      </c>
      <c r="B6" s="13">
        <f>SUM(B4:B5)</f>
      </c>
      <c r="C6" s="13">
        <f>SUM(C4:C5)</f>
      </c>
      <c r="D6" s="13">
        <f>SUM(D4:D5)</f>
      </c>
      <c r="E6" s="13">
        <f>SUM(E4:E5)</f>
      </c>
      <c r="F6" s="13">
        <f>SUM(F4:F5)</f>
      </c>
      <c r="G6" s="13">
        <f>SUM(G4:G5)</f>
      </c>
    </row>
    <row r="8" spans="1:7" x14ac:dyDescent="0.25">
      <c r="A8" s="20" t="s">
        <v>152</v>
      </c>
      <c r="B8" s="20"/>
      <c r="C8" s="20"/>
      <c r="D8" s="20"/>
      <c r="E8" s="20"/>
      <c r="F8" s="20"/>
      <c r="G8" s="20"/>
    </row>
  </sheetData>
  <mergeCells count="2">
    <mergeCell ref="A1:G1"/>
    <mergeCell ref="A8:G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Lisez-moi</vt:lpstr>
      <vt:lpstr>Equipements</vt:lpstr>
      <vt:lpstr>Tickets</vt:lpstr>
      <vt:lpstr>Couts_GLPI</vt:lpstr>
      <vt:lpstr>Items_lies</vt:lpstr>
      <vt:lpstr>Mouvements</vt:lpstr>
      <vt:lpstr>SuperCost</vt:lpstr>
      <vt:lpstr>ReopenCost</vt:lpstr>
      <vt:lpstr>RESULTAT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Code</dc:creator>
  <dc:title/>
  <dc:subject/>
  <dc:description/>
  <cp:keywords/>
  <cp:category/>
  <cp:lastModifiedBy>Unknown</cp:lastModifiedBy>
  <dcterms:created xsi:type="dcterms:W3CDTF">2026-06-18T17:54:59Z</dcterms:created>
  <dcterms:modified xsi:type="dcterms:W3CDTF">2026-06-18T17:54:59Z</dcterms:modified>
</cp:coreProperties>
</file>